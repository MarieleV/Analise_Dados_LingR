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cuments\Desafio Águas de Joinville\"/>
    </mc:Choice>
  </mc:AlternateContent>
  <xr:revisionPtr revIDLastSave="0" documentId="13_ncr:1_{8DF4C3AC-0689-469B-B86A-C2E7C1722B42}" xr6:coauthVersionLast="47" xr6:coauthVersionMax="47" xr10:uidLastSave="{00000000-0000-0000-0000-000000000000}"/>
  <bookViews>
    <workbookView xWindow="-108" yWindow="-108" windowWidth="23256" windowHeight="12576" xr2:uid="{D80790B8-98B9-4FC1-A021-8C9BA532BC32}"/>
  </bookViews>
  <sheets>
    <sheet name="Arquivo1" sheetId="1" r:id="rId1"/>
    <sheet name="Arquivo2" sheetId="2" r:id="rId2"/>
  </sheets>
  <definedNames>
    <definedName name="_xlnm._FilterDatabase" localSheetId="0" hidden="1">Arquivo1!$A$1:$F$51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M6" i="1"/>
  <c r="L6" i="1"/>
  <c r="K6" i="1"/>
  <c r="E40" i="1"/>
  <c r="E2" i="1"/>
  <c r="E36" i="1"/>
  <c r="E4" i="1"/>
  <c r="E31" i="1"/>
  <c r="E12" i="1"/>
  <c r="E9" i="1"/>
  <c r="E44" i="1"/>
  <c r="E27" i="1"/>
  <c r="E15" i="1"/>
  <c r="E20" i="1"/>
  <c r="E37" i="1"/>
  <c r="E14" i="1"/>
  <c r="E42" i="1"/>
  <c r="E51" i="1"/>
  <c r="E26" i="1"/>
  <c r="E17" i="1"/>
  <c r="E41" i="1"/>
  <c r="E6" i="1"/>
  <c r="E22" i="1"/>
  <c r="E35" i="1"/>
  <c r="E24" i="1"/>
  <c r="E10" i="1"/>
  <c r="E32" i="1"/>
  <c r="E34" i="1"/>
  <c r="E39" i="1"/>
  <c r="E48" i="1"/>
  <c r="E28" i="1"/>
  <c r="E18" i="1"/>
  <c r="E43" i="1"/>
  <c r="E33" i="1"/>
  <c r="E3" i="1"/>
  <c r="E21" i="1"/>
  <c r="E13" i="1"/>
  <c r="E5" i="1"/>
  <c r="E16" i="1"/>
  <c r="E19" i="1"/>
  <c r="E46" i="1"/>
  <c r="E50" i="1"/>
  <c r="E8" i="1"/>
  <c r="E7" i="1"/>
  <c r="E30" i="1"/>
  <c r="E49" i="1"/>
  <c r="E23" i="1"/>
  <c r="E38" i="1"/>
  <c r="E47" i="1"/>
  <c r="E45" i="1"/>
  <c r="E11" i="1"/>
  <c r="E29" i="1"/>
  <c r="E25" i="1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N5" i="1" l="1"/>
  <c r="K5" i="1"/>
  <c r="L5" i="1"/>
  <c r="M5" i="1"/>
</calcChain>
</file>

<file path=xl/sharedStrings.xml><?xml version="1.0" encoding="utf-8"?>
<sst xmlns="http://schemas.openxmlformats.org/spreadsheetml/2006/main" count="217" uniqueCount="113">
  <si>
    <t>Matricula</t>
  </si>
  <si>
    <t>HD.Instalado</t>
  </si>
  <si>
    <t>Data.instalação</t>
  </si>
  <si>
    <t>Volume</t>
  </si>
  <si>
    <t>1203647-1</t>
  </si>
  <si>
    <t>A25AA0025268</t>
  </si>
  <si>
    <t>1203649-8</t>
  </si>
  <si>
    <t>A20L595032</t>
  </si>
  <si>
    <t>1203652-8</t>
  </si>
  <si>
    <t>A18L730439</t>
  </si>
  <si>
    <t>1203655-2</t>
  </si>
  <si>
    <t>A24AA0196922</t>
  </si>
  <si>
    <t>1203656-0</t>
  </si>
  <si>
    <t>A25SG1032648</t>
  </si>
  <si>
    <t>1203660-9</t>
  </si>
  <si>
    <t>A24AA0122080</t>
  </si>
  <si>
    <t>1203665-0</t>
  </si>
  <si>
    <t>A22L277086</t>
  </si>
  <si>
    <t>1203666-8</t>
  </si>
  <si>
    <t>A25SG1040406</t>
  </si>
  <si>
    <t>1203667-6</t>
  </si>
  <si>
    <t>A24L074461</t>
  </si>
  <si>
    <t>1203671-4</t>
  </si>
  <si>
    <t>A21L120897</t>
  </si>
  <si>
    <t>1203702-8</t>
  </si>
  <si>
    <t>A20L169855</t>
  </si>
  <si>
    <t>1203703-6</t>
  </si>
  <si>
    <t>A22L885360</t>
  </si>
  <si>
    <t>1203749-4</t>
  </si>
  <si>
    <t>A24AA0111484</t>
  </si>
  <si>
    <t>1203751-6</t>
  </si>
  <si>
    <t>A17S231913</t>
  </si>
  <si>
    <t>1203752-4</t>
  </si>
  <si>
    <t>A24L078657</t>
  </si>
  <si>
    <t>1203753-2</t>
  </si>
  <si>
    <t>A21L266357</t>
  </si>
  <si>
    <t>1203754-0</t>
  </si>
  <si>
    <t>A17L342852</t>
  </si>
  <si>
    <t>1203755-9</t>
  </si>
  <si>
    <t>A22L874153</t>
  </si>
  <si>
    <t>1203756-7</t>
  </si>
  <si>
    <t>A19L073882</t>
  </si>
  <si>
    <t>1203761-3</t>
  </si>
  <si>
    <t>A24AA0114393</t>
  </si>
  <si>
    <t>1203765-6</t>
  </si>
  <si>
    <t>A24AA0196717</t>
  </si>
  <si>
    <t>1203771-0</t>
  </si>
  <si>
    <t>A22L283085</t>
  </si>
  <si>
    <t>1203773-7</t>
  </si>
  <si>
    <t>A24L945087</t>
  </si>
  <si>
    <t>1203825-3</t>
  </si>
  <si>
    <t>A25SG1030075</t>
  </si>
  <si>
    <t>1203842-3</t>
  </si>
  <si>
    <t>A24AA0122437</t>
  </si>
  <si>
    <t>1203843-1</t>
  </si>
  <si>
    <t>A21L127616</t>
  </si>
  <si>
    <t>1203844-0</t>
  </si>
  <si>
    <t>A24LM0358513</t>
  </si>
  <si>
    <t>1203845-8</t>
  </si>
  <si>
    <t>A19L392887</t>
  </si>
  <si>
    <t>1203847-4</t>
  </si>
  <si>
    <t>A21L119628</t>
  </si>
  <si>
    <t>1203848-2</t>
  </si>
  <si>
    <t>A22L987575</t>
  </si>
  <si>
    <t>1203849-0</t>
  </si>
  <si>
    <t>A21L126958</t>
  </si>
  <si>
    <t>1203851-2</t>
  </si>
  <si>
    <t>A21L264269</t>
  </si>
  <si>
    <t>1203853-9</t>
  </si>
  <si>
    <t>A22L984943</t>
  </si>
  <si>
    <t>1203854-7</t>
  </si>
  <si>
    <t>A20L273289</t>
  </si>
  <si>
    <t>1203855-5</t>
  </si>
  <si>
    <t>A24LM0361907</t>
  </si>
  <si>
    <t>1203859-8</t>
  </si>
  <si>
    <t>A24AA0199148</t>
  </si>
  <si>
    <t>1203860-1</t>
  </si>
  <si>
    <t>A22L975782</t>
  </si>
  <si>
    <t>1203957-8</t>
  </si>
  <si>
    <t>A22L983837</t>
  </si>
  <si>
    <t>1203958-6</t>
  </si>
  <si>
    <t>A24AA0112747</t>
  </si>
  <si>
    <t>1203960-8</t>
  </si>
  <si>
    <t>A24LM0365483</t>
  </si>
  <si>
    <t>1203961-6</t>
  </si>
  <si>
    <t>A19L466767</t>
  </si>
  <si>
    <t>1203963-2</t>
  </si>
  <si>
    <t>A20L272219</t>
  </si>
  <si>
    <t>1203964-0</t>
  </si>
  <si>
    <t>A24AA0124655</t>
  </si>
  <si>
    <t>1203965-9</t>
  </si>
  <si>
    <t>A21L060275</t>
  </si>
  <si>
    <t>1203966-7</t>
  </si>
  <si>
    <t>A21L266313</t>
  </si>
  <si>
    <t>1203967-5</t>
  </si>
  <si>
    <t>A24L942994</t>
  </si>
  <si>
    <t>1203968-3</t>
  </si>
  <si>
    <t>A18L731516</t>
  </si>
  <si>
    <t>1203969-1</t>
  </si>
  <si>
    <t>A24LM0360754</t>
  </si>
  <si>
    <t>1203971-3</t>
  </si>
  <si>
    <t>A21L060170</t>
  </si>
  <si>
    <t>1203972-1</t>
  </si>
  <si>
    <t>A22L484462</t>
  </si>
  <si>
    <t>IDM</t>
  </si>
  <si>
    <t>Chave</t>
  </si>
  <si>
    <t>Variável</t>
  </si>
  <si>
    <t>Mínimo</t>
  </si>
  <si>
    <t>Média</t>
  </si>
  <si>
    <t>Máximo</t>
  </si>
  <si>
    <t>Desvio Padrão</t>
  </si>
  <si>
    <t>IDM (%)</t>
  </si>
  <si>
    <t>Volume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</si>
</sst>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B8CCE4"/>
      </left>
      <right style="medium">
        <color rgb="FFB8CCE4"/>
      </right>
      <top style="medium">
        <color rgb="FFB8CCE4"/>
      </top>
      <bottom style="medium">
        <color rgb="FFB8CCE4"/>
      </bottom>
      <diagonal/>
    </border>
    <border>
      <left/>
      <right style="medium">
        <color rgb="FFB8CCE4"/>
      </right>
      <top style="medium">
        <color rgb="FFB8CCE4"/>
      </top>
      <bottom style="medium">
        <color rgb="FFB8CCE4"/>
      </bottom>
      <diagonal/>
    </border>
    <border>
      <left style="medium">
        <color rgb="FFB8CCE4"/>
      </left>
      <right style="medium">
        <color rgb="FFB8CCE4"/>
      </right>
      <top/>
      <bottom style="medium">
        <color rgb="FFB8CCE4"/>
      </bottom>
      <diagonal/>
    </border>
    <border>
      <left/>
      <right style="medium">
        <color rgb="FFB8CCE4"/>
      </right>
      <top/>
      <bottom style="medium">
        <color rgb="FFB8CCE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left" vertical="center" wrapText="1" indent="1"/>
    </xf>
    <xf numFmtId="0" fontId="9" fillId="0" borderId="0" xfId="0" applyFont="1"/>
    <xf numFmtId="14" fontId="9" fillId="0" borderId="0" xfId="0" applyNumberFormat="1" applyFont="1"/>
    <xf numFmtId="0" fontId="10" fillId="0" borderId="0" xfId="0" applyFont="1"/>
    <xf numFmtId="14" fontId="10" fillId="0" borderId="0" xfId="0" applyNumberFormat="1" applyFont="1"/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2" fontId="6" fillId="3" borderId="4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2" fontId="6" fillId="4" borderId="3" xfId="0" applyNumberFormat="1" applyFont="1" applyFill="1" applyBorder="1" applyAlignment="1">
      <alignment horizontal="center" vertical="center" wrapText="1"/>
    </xf>
    <xf numFmtId="2" fontId="9" fillId="0" borderId="0" xfId="0" applyNumberFormat="1" applyFont="1"/>
    <xf numFmtId="2" fontId="10" fillId="0" borderId="0" xfId="0" applyNumberFormat="1" applyFont="1"/>
    <xf numFmtId="0" fontId="11" fillId="0" borderId="0" xfId="0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B8D4C-3661-4299-B6B5-940B880A0761}" name="Tabela1" displayName="Tabela1" ref="A1:F51" totalsRowShown="0" headerRowDxfId="2" dataDxfId="3">
  <autoFilter ref="A1:F51" xr:uid="{304A97F8-318D-4C6C-9E83-7CA1D97B6587}"/>
  <tableColumns count="6">
    <tableColumn id="1" xr3:uid="{77C0338A-8353-4E43-8B47-0BFDB6C8F914}" name="Matricula" dataDxfId="7"/>
    <tableColumn id="2" xr3:uid="{7330959C-98CC-4988-A2AA-BF250EABB3C8}" name="HD.Instalado" dataDxfId="6"/>
    <tableColumn id="3" xr3:uid="{98B1386B-5B2C-4336-9F27-F187B1A684DE}" name="Data.instalação" dataDxfId="5"/>
    <tableColumn id="4" xr3:uid="{668A1760-F9D4-4648-9204-7BE421D0058F}" name="Volume" dataDxfId="4"/>
    <tableColumn id="5" xr3:uid="{39B4891D-E28B-4B9A-A588-B85EED89EA74}" name="Chave" dataDxfId="1">
      <calculatedColumnFormula>A2&amp;"/"&amp;B2</calculatedColumnFormula>
    </tableColumn>
    <tableColumn id="6" xr3:uid="{7966C62A-1F7D-48C1-BC3C-F4DA0786EBF3}" name="IDM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246C1-3AD1-4C08-8E9E-667607ACAFA7}" name="Tabela2" displayName="Tabela2" ref="A1:D51" totalsRowShown="0" headerRowDxfId="8">
  <autoFilter ref="A1:D51" xr:uid="{B7E246C1-3AD1-4C08-8E9E-667607ACAFA7}"/>
  <tableColumns count="4">
    <tableColumn id="1" xr3:uid="{3E0652E7-71CD-413D-BAB7-3021065F06B1}" name="Matricula"/>
    <tableColumn id="2" xr3:uid="{CD5ACAD8-34B1-455A-8308-89369E0C6F31}" name="HD.Instalado"/>
    <tableColumn id="3" xr3:uid="{EFD3CA20-9C38-4128-B6F8-9B34ACC962B6}" name="Chave" dataDxfId="9">
      <calculatedColumnFormula>A2&amp;"/"&amp;B2</calculatedColumnFormula>
    </tableColumn>
    <tableColumn id="4" xr3:uid="{A0072CDD-2EA0-40D3-98E4-5AA99D027594}" name="ID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97F8-318D-4C6C-9E83-7CA1D97B6587}">
  <dimension ref="A1:N51"/>
  <sheetViews>
    <sheetView tabSelected="1" workbookViewId="0">
      <selection activeCell="C12" sqref="C12"/>
    </sheetView>
  </sheetViews>
  <sheetFormatPr defaultRowHeight="14.4" x14ac:dyDescent="0.3"/>
  <cols>
    <col min="1" max="1" width="13.33203125" style="12" bestFit="1" customWidth="1"/>
    <col min="2" max="2" width="16.33203125" style="12" bestFit="1" customWidth="1"/>
    <col min="3" max="3" width="18.6640625" style="13" bestFit="1" customWidth="1"/>
    <col min="4" max="4" width="11.77734375" style="12" bestFit="1" customWidth="1"/>
    <col min="5" max="5" width="23.109375" style="10" hidden="1" customWidth="1"/>
    <col min="6" max="6" width="11" style="12" bestFit="1" customWidth="1"/>
    <col min="10" max="10" width="15.6640625" customWidth="1"/>
    <col min="11" max="11" width="12.21875" customWidth="1"/>
    <col min="12" max="12" width="16.6640625" customWidth="1"/>
    <col min="13" max="13" width="12.44140625" customWidth="1"/>
    <col min="14" max="14" width="12.5546875" bestFit="1" customWidth="1"/>
  </cols>
  <sheetData>
    <row r="1" spans="1:14" s="17" customFormat="1" ht="22.8" customHeight="1" x14ac:dyDescent="0.3">
      <c r="A1" s="14" t="s">
        <v>0</v>
      </c>
      <c r="B1" s="14" t="s">
        <v>1</v>
      </c>
      <c r="C1" s="15" t="s">
        <v>2</v>
      </c>
      <c r="D1" s="14" t="s">
        <v>3</v>
      </c>
      <c r="E1" s="16" t="s">
        <v>105</v>
      </c>
      <c r="F1" s="14" t="s">
        <v>104</v>
      </c>
      <c r="K1" s="18"/>
      <c r="L1" s="18"/>
      <c r="M1" s="18"/>
    </row>
    <row r="2" spans="1:14" s="5" customFormat="1" x14ac:dyDescent="0.3">
      <c r="A2" s="10" t="s">
        <v>100</v>
      </c>
      <c r="B2" s="10" t="s">
        <v>101</v>
      </c>
      <c r="C2" s="11">
        <v>44321</v>
      </c>
      <c r="D2" s="10">
        <v>3787</v>
      </c>
      <c r="E2" s="10" t="str">
        <f>A2&amp;"/"&amp;B2</f>
        <v>1203971-3/A21L060170</v>
      </c>
      <c r="F2" s="22">
        <v>88.702427</v>
      </c>
    </row>
    <row r="3" spans="1:14" ht="15" thickBot="1" x14ac:dyDescent="0.35">
      <c r="A3" s="12" t="s">
        <v>40</v>
      </c>
      <c r="B3" s="12" t="s">
        <v>41</v>
      </c>
      <c r="C3" s="13">
        <v>43665</v>
      </c>
      <c r="D3" s="12">
        <v>2243</v>
      </c>
      <c r="E3" s="10" t="str">
        <f>A3&amp;"/"&amp;B3</f>
        <v>1203756-7/A19L073882</v>
      </c>
      <c r="F3" s="23">
        <v>93.765203</v>
      </c>
    </row>
    <row r="4" spans="1:14" ht="27" thickBot="1" x14ac:dyDescent="0.35">
      <c r="A4" s="12" t="s">
        <v>96</v>
      </c>
      <c r="B4" s="12" t="s">
        <v>97</v>
      </c>
      <c r="C4" s="13">
        <v>43670</v>
      </c>
      <c r="D4" s="12">
        <v>2152</v>
      </c>
      <c r="E4" s="10" t="str">
        <f>A4&amp;"/"&amp;B4</f>
        <v>1203968-3/A18L731516</v>
      </c>
      <c r="F4" s="23">
        <v>94.063592</v>
      </c>
      <c r="J4" s="6" t="s">
        <v>106</v>
      </c>
      <c r="K4" s="7" t="s">
        <v>107</v>
      </c>
      <c r="L4" s="7" t="s">
        <v>108</v>
      </c>
      <c r="M4" s="7" t="s">
        <v>109</v>
      </c>
      <c r="N4" s="7" t="s">
        <v>110</v>
      </c>
    </row>
    <row r="5" spans="1:14" ht="19.2" customHeight="1" thickBot="1" x14ac:dyDescent="0.35">
      <c r="A5" s="12" t="s">
        <v>34</v>
      </c>
      <c r="B5" s="12" t="s">
        <v>35</v>
      </c>
      <c r="C5" s="13">
        <v>44485</v>
      </c>
      <c r="D5" s="12">
        <v>1777</v>
      </c>
      <c r="E5" s="10" t="str">
        <f>A5&amp;"/"&amp;B5</f>
        <v>1203753-2/A21L266357</v>
      </c>
      <c r="F5" s="23">
        <v>95.293216999999999</v>
      </c>
      <c r="J5" s="8" t="s">
        <v>111</v>
      </c>
      <c r="K5" s="19">
        <f>MIN(F:F)</f>
        <v>88.702427</v>
      </c>
      <c r="L5" s="19">
        <f>AVERAGE(F:F)</f>
        <v>98.846144660000007</v>
      </c>
      <c r="M5" s="19">
        <f>MAX(F:F)</f>
        <v>101.103605</v>
      </c>
      <c r="N5" s="19">
        <f>_xlfn.STDEV.S(F:F)</f>
        <v>2.3411425682137588</v>
      </c>
    </row>
    <row r="6" spans="1:14" ht="23.4" customHeight="1" thickBot="1" x14ac:dyDescent="0.35">
      <c r="A6" s="12" t="s">
        <v>66</v>
      </c>
      <c r="B6" s="12" t="s">
        <v>67</v>
      </c>
      <c r="C6" s="13">
        <v>44838</v>
      </c>
      <c r="D6" s="12">
        <v>1574</v>
      </c>
      <c r="E6" s="10" t="str">
        <f>A6&amp;"/"&amp;B6</f>
        <v>1203851-2/A21L264269</v>
      </c>
      <c r="F6" s="23">
        <v>95.958854000000002</v>
      </c>
      <c r="J6" s="9" t="s">
        <v>112</v>
      </c>
      <c r="K6" s="20">
        <f>MIN(D:D)</f>
        <v>5</v>
      </c>
      <c r="L6" s="20">
        <f>AVERAGE(D:D)</f>
        <v>693.46</v>
      </c>
      <c r="M6" s="20">
        <f>MAX(D:D)</f>
        <v>3787</v>
      </c>
      <c r="N6" s="21">
        <f>_xlfn.STDEV.S(D:D)</f>
        <v>713.98065514295797</v>
      </c>
    </row>
    <row r="7" spans="1:14" x14ac:dyDescent="0.3">
      <c r="A7" s="12" t="s">
        <v>22</v>
      </c>
      <c r="B7" s="12" t="s">
        <v>23</v>
      </c>
      <c r="C7" s="13">
        <v>44484</v>
      </c>
      <c r="D7" s="12">
        <v>1467</v>
      </c>
      <c r="E7" s="10" t="str">
        <f>A7&amp;"/"&amp;B7</f>
        <v>1203671-4/A21L120897</v>
      </c>
      <c r="F7" s="23">
        <v>96.309707000000003</v>
      </c>
    </row>
    <row r="8" spans="1:14" x14ac:dyDescent="0.3">
      <c r="A8" s="12" t="s">
        <v>24</v>
      </c>
      <c r="B8" s="12" t="s">
        <v>25</v>
      </c>
      <c r="C8" s="13">
        <v>44004</v>
      </c>
      <c r="D8" s="12">
        <v>1331</v>
      </c>
      <c r="E8" s="10" t="str">
        <f>A8&amp;"/"&amp;B8</f>
        <v>1203702-8/A20L169855</v>
      </c>
      <c r="F8" s="23">
        <v>96.755651</v>
      </c>
      <c r="I8" s="1"/>
      <c r="J8" s="1"/>
      <c r="K8" s="1"/>
      <c r="L8" s="1"/>
    </row>
    <row r="9" spans="1:14" x14ac:dyDescent="0.3">
      <c r="A9" s="12" t="s">
        <v>90</v>
      </c>
      <c r="B9" s="12" t="s">
        <v>91</v>
      </c>
      <c r="C9" s="13">
        <v>44316</v>
      </c>
      <c r="D9" s="12">
        <v>1253</v>
      </c>
      <c r="E9" s="10" t="str">
        <f>A9&amp;"/"&amp;B9</f>
        <v>1203965-9/A21L060275</v>
      </c>
      <c r="F9" s="23">
        <v>97.011413000000005</v>
      </c>
      <c r="I9" s="1"/>
      <c r="J9" s="1"/>
      <c r="K9" s="1"/>
      <c r="L9" s="1"/>
    </row>
    <row r="10" spans="1:14" x14ac:dyDescent="0.3">
      <c r="A10" s="12" t="s">
        <v>58</v>
      </c>
      <c r="B10" s="12" t="s">
        <v>59</v>
      </c>
      <c r="C10" s="13">
        <v>43711</v>
      </c>
      <c r="D10" s="12">
        <v>1158</v>
      </c>
      <c r="E10" s="10" t="str">
        <f>A10&amp;"/"&amp;B10</f>
        <v>1203845-8/A19L392887</v>
      </c>
      <c r="F10" s="23">
        <v>97.322918000000001</v>
      </c>
      <c r="I10" s="1"/>
      <c r="J10" s="1"/>
      <c r="K10" s="1"/>
      <c r="L10" s="1"/>
    </row>
    <row r="11" spans="1:14" x14ac:dyDescent="0.3">
      <c r="A11" s="12" t="s">
        <v>8</v>
      </c>
      <c r="B11" s="12" t="s">
        <v>9</v>
      </c>
      <c r="C11" s="13">
        <v>45497</v>
      </c>
      <c r="D11" s="12">
        <v>1152</v>
      </c>
      <c r="E11" s="10" t="str">
        <f>A11&amp;"/"&amp;B11</f>
        <v>1203652-8/A18L730439</v>
      </c>
      <c r="F11" s="23">
        <v>97.34259200000001</v>
      </c>
      <c r="I11" s="1"/>
      <c r="J11" s="1"/>
      <c r="K11" s="1"/>
      <c r="L11" s="1"/>
    </row>
    <row r="12" spans="1:14" x14ac:dyDescent="0.3">
      <c r="A12" s="12" t="s">
        <v>92</v>
      </c>
      <c r="B12" s="12" t="s">
        <v>93</v>
      </c>
      <c r="C12" s="13">
        <v>44484</v>
      </c>
      <c r="D12" s="12">
        <v>1105</v>
      </c>
      <c r="E12" s="10" t="str">
        <f>A12&amp;"/"&amp;B12</f>
        <v>1203966-7/A21L266313</v>
      </c>
      <c r="F12" s="23">
        <v>97.496705000000006</v>
      </c>
      <c r="I12" s="1"/>
      <c r="J12" s="1"/>
      <c r="K12" s="1"/>
      <c r="L12" s="1"/>
    </row>
    <row r="13" spans="1:14" x14ac:dyDescent="0.3">
      <c r="A13" s="12" t="s">
        <v>36</v>
      </c>
      <c r="B13" s="12" t="s">
        <v>37</v>
      </c>
      <c r="C13" s="13">
        <v>43111</v>
      </c>
      <c r="D13" s="12">
        <v>1088</v>
      </c>
      <c r="E13" s="10" t="str">
        <f>A13&amp;"/"&amp;B13</f>
        <v>1203754-0/A17L342852</v>
      </c>
      <c r="F13" s="23">
        <v>97.552447999999998</v>
      </c>
      <c r="J13" s="1"/>
      <c r="K13" s="1"/>
      <c r="L13" s="1"/>
    </row>
    <row r="14" spans="1:14" x14ac:dyDescent="0.3">
      <c r="A14" s="12" t="s">
        <v>78</v>
      </c>
      <c r="B14" s="12" t="s">
        <v>79</v>
      </c>
      <c r="C14" s="13">
        <v>45096</v>
      </c>
      <c r="D14" s="12">
        <v>1035</v>
      </c>
      <c r="E14" s="10" t="str">
        <f>A14&amp;"/"&amp;B14</f>
        <v>1203957-8/A22L983837</v>
      </c>
      <c r="F14" s="23">
        <v>97.726235000000003</v>
      </c>
      <c r="I14" s="1"/>
      <c r="J14" s="1"/>
      <c r="K14" s="1"/>
      <c r="L14" s="1"/>
    </row>
    <row r="15" spans="1:14" x14ac:dyDescent="0.3">
      <c r="A15" s="12" t="s">
        <v>84</v>
      </c>
      <c r="B15" s="12" t="s">
        <v>85</v>
      </c>
      <c r="C15" s="13">
        <v>43734</v>
      </c>
      <c r="D15" s="12">
        <v>1007</v>
      </c>
      <c r="E15" s="10" t="str">
        <f>A15&amp;"/"&amp;B15</f>
        <v>1203961-6/A19L466767</v>
      </c>
      <c r="F15" s="23">
        <v>97.818047000000007</v>
      </c>
    </row>
    <row r="16" spans="1:14" x14ac:dyDescent="0.3">
      <c r="A16" s="12" t="s">
        <v>32</v>
      </c>
      <c r="B16" s="12" t="s">
        <v>33</v>
      </c>
      <c r="C16" s="13">
        <v>45362</v>
      </c>
      <c r="D16" s="12">
        <v>812</v>
      </c>
      <c r="E16" s="10" t="str">
        <f>A16&amp;"/"&amp;B16</f>
        <v>1203752-4/A24L078657</v>
      </c>
      <c r="F16" s="23">
        <v>98.457452000000004</v>
      </c>
    </row>
    <row r="17" spans="1:10" x14ac:dyDescent="0.3">
      <c r="A17" s="12" t="s">
        <v>70</v>
      </c>
      <c r="B17" s="12" t="s">
        <v>71</v>
      </c>
      <c r="C17" s="13">
        <v>44132</v>
      </c>
      <c r="D17" s="12">
        <v>802</v>
      </c>
      <c r="E17" s="10" t="str">
        <f>A17&amp;"/"&amp;B17</f>
        <v>1203854-7/A20L273289</v>
      </c>
      <c r="F17" s="23">
        <v>98.490242000000009</v>
      </c>
    </row>
    <row r="18" spans="1:10" x14ac:dyDescent="0.3">
      <c r="A18" s="12" t="s">
        <v>46</v>
      </c>
      <c r="B18" s="12" t="s">
        <v>47</v>
      </c>
      <c r="C18" s="13">
        <v>44825</v>
      </c>
      <c r="D18" s="12">
        <v>798</v>
      </c>
      <c r="E18" s="10" t="str">
        <f>A18&amp;"/"&amp;B18</f>
        <v>1203771-0/A22L283085</v>
      </c>
      <c r="F18" s="23">
        <v>98.503358000000006</v>
      </c>
    </row>
    <row r="19" spans="1:10" x14ac:dyDescent="0.3">
      <c r="A19" s="12" t="s">
        <v>30</v>
      </c>
      <c r="B19" s="12" t="s">
        <v>31</v>
      </c>
      <c r="C19" s="13">
        <v>42986</v>
      </c>
      <c r="D19" s="12">
        <v>788</v>
      </c>
      <c r="E19" s="10" t="str">
        <f>A19&amp;"/"&amp;B19</f>
        <v>1203751-6/A17S231913</v>
      </c>
      <c r="F19" s="23">
        <v>98.536148000000011</v>
      </c>
    </row>
    <row r="20" spans="1:10" x14ac:dyDescent="0.3">
      <c r="A20" s="12" t="s">
        <v>82</v>
      </c>
      <c r="B20" s="12" t="s">
        <v>83</v>
      </c>
      <c r="C20" s="13">
        <v>45549</v>
      </c>
      <c r="D20" s="12">
        <v>715</v>
      </c>
      <c r="E20" s="10" t="str">
        <f>A20&amp;"/"&amp;B20</f>
        <v>1203960-8/A24LM0365483</v>
      </c>
      <c r="F20" s="23">
        <v>98.775514999999999</v>
      </c>
      <c r="J20" s="24"/>
    </row>
    <row r="21" spans="1:10" x14ac:dyDescent="0.3">
      <c r="A21" s="12" t="s">
        <v>38</v>
      </c>
      <c r="B21" s="12" t="s">
        <v>39</v>
      </c>
      <c r="C21" s="13">
        <v>45028</v>
      </c>
      <c r="D21" s="12">
        <v>683</v>
      </c>
      <c r="E21" s="10" t="str">
        <f>A21&amp;"/"&amp;B21</f>
        <v>1203755-9/A22L874153</v>
      </c>
      <c r="F21" s="23">
        <v>98.880443</v>
      </c>
    </row>
    <row r="22" spans="1:10" x14ac:dyDescent="0.3">
      <c r="A22" s="12" t="s">
        <v>64</v>
      </c>
      <c r="B22" s="12" t="s">
        <v>65</v>
      </c>
      <c r="C22" s="13">
        <v>44494</v>
      </c>
      <c r="D22" s="12">
        <v>674</v>
      </c>
      <c r="E22" s="10" t="str">
        <f>A22&amp;"/"&amp;B22</f>
        <v>1203849-0/A21L126958</v>
      </c>
      <c r="F22" s="23">
        <v>98.909953999999999</v>
      </c>
    </row>
    <row r="23" spans="1:10" x14ac:dyDescent="0.3">
      <c r="A23" s="12" t="s">
        <v>16</v>
      </c>
      <c r="B23" s="12" t="s">
        <v>17</v>
      </c>
      <c r="C23" s="13">
        <v>44812</v>
      </c>
      <c r="D23" s="12">
        <v>597</v>
      </c>
      <c r="E23" s="10" t="str">
        <f>A23&amp;"/"&amp;B23</f>
        <v>1203665-0/A22L277086</v>
      </c>
      <c r="F23" s="23">
        <v>99.162437000000011</v>
      </c>
    </row>
    <row r="24" spans="1:10" x14ac:dyDescent="0.3">
      <c r="A24" s="12" t="s">
        <v>60</v>
      </c>
      <c r="B24" s="12" t="s">
        <v>61</v>
      </c>
      <c r="C24" s="13">
        <v>44484</v>
      </c>
      <c r="D24" s="12">
        <v>544</v>
      </c>
      <c r="E24" s="10" t="str">
        <f>A24&amp;"/"&amp;B24</f>
        <v>1203847-4/A21L119628</v>
      </c>
      <c r="F24" s="23">
        <v>99.336224000000001</v>
      </c>
    </row>
    <row r="25" spans="1:10" x14ac:dyDescent="0.3">
      <c r="A25" s="12" t="s">
        <v>4</v>
      </c>
      <c r="B25" s="12" t="s">
        <v>5</v>
      </c>
      <c r="C25" s="13">
        <v>45959</v>
      </c>
      <c r="D25" s="12">
        <v>514</v>
      </c>
      <c r="E25" s="10" t="str">
        <f>A25&amp;"/"&amp;B25</f>
        <v>1203647-1/A25AA0025268</v>
      </c>
      <c r="F25" s="23">
        <v>99.434594000000004</v>
      </c>
    </row>
    <row r="26" spans="1:10" x14ac:dyDescent="0.3">
      <c r="A26" s="12" t="s">
        <v>72</v>
      </c>
      <c r="B26" s="12" t="s">
        <v>73</v>
      </c>
      <c r="C26" s="13">
        <v>45478</v>
      </c>
      <c r="D26" s="12">
        <v>493</v>
      </c>
      <c r="E26" s="10" t="str">
        <f>A26&amp;"/"&amp;B26</f>
        <v>1203855-5/A24LM0361907</v>
      </c>
      <c r="F26" s="23">
        <v>99.503453000000007</v>
      </c>
    </row>
    <row r="27" spans="1:10" x14ac:dyDescent="0.3">
      <c r="A27" s="12" t="s">
        <v>86</v>
      </c>
      <c r="B27" s="12" t="s">
        <v>87</v>
      </c>
      <c r="C27" s="13">
        <v>44145</v>
      </c>
      <c r="D27" s="12">
        <v>480</v>
      </c>
      <c r="E27" s="10" t="str">
        <f>A27&amp;"/"&amp;B27</f>
        <v>1203963-2/A20L272219</v>
      </c>
      <c r="F27" s="23">
        <v>99.546080000000003</v>
      </c>
    </row>
    <row r="28" spans="1:10" x14ac:dyDescent="0.3">
      <c r="A28" s="12" t="s">
        <v>48</v>
      </c>
      <c r="B28" s="12" t="s">
        <v>49</v>
      </c>
      <c r="C28" s="13">
        <v>45303</v>
      </c>
      <c r="D28" s="12">
        <v>448</v>
      </c>
      <c r="E28" s="10" t="str">
        <f>A28&amp;"/"&amp;B28</f>
        <v>1203773-7/A24L945087</v>
      </c>
      <c r="F28" s="23">
        <v>99.651008000000004</v>
      </c>
    </row>
    <row r="29" spans="1:10" x14ac:dyDescent="0.3">
      <c r="A29" s="12" t="s">
        <v>6</v>
      </c>
      <c r="B29" s="12" t="s">
        <v>7</v>
      </c>
      <c r="C29" s="13">
        <v>44201</v>
      </c>
      <c r="D29" s="12">
        <v>384</v>
      </c>
      <c r="E29" s="10" t="str">
        <f>A29&amp;"/"&amp;B29</f>
        <v>1203649-8/A20L595032</v>
      </c>
      <c r="F29" s="23">
        <v>99.860864000000007</v>
      </c>
    </row>
    <row r="30" spans="1:10" x14ac:dyDescent="0.3">
      <c r="A30" s="12" t="s">
        <v>20</v>
      </c>
      <c r="B30" s="12" t="s">
        <v>21</v>
      </c>
      <c r="C30" s="13">
        <v>45404</v>
      </c>
      <c r="D30" s="12">
        <v>378</v>
      </c>
      <c r="E30" s="10" t="str">
        <f>A30&amp;"/"&amp;B30</f>
        <v>1203667-6/A24L074461</v>
      </c>
      <c r="F30" s="23">
        <v>99.880538000000001</v>
      </c>
    </row>
    <row r="31" spans="1:10" x14ac:dyDescent="0.3">
      <c r="A31" s="12" t="s">
        <v>94</v>
      </c>
      <c r="B31" s="12" t="s">
        <v>95</v>
      </c>
      <c r="C31" s="13">
        <v>45317</v>
      </c>
      <c r="D31" s="12">
        <v>357</v>
      </c>
      <c r="E31" s="10" t="str">
        <f>A31&amp;"/"&amp;B31</f>
        <v>1203967-5/A24L942994</v>
      </c>
      <c r="F31" s="23">
        <v>99.949397000000005</v>
      </c>
    </row>
    <row r="32" spans="1:10" x14ac:dyDescent="0.3">
      <c r="A32" s="12" t="s">
        <v>56</v>
      </c>
      <c r="B32" s="12" t="s">
        <v>57</v>
      </c>
      <c r="C32" s="13">
        <v>45574</v>
      </c>
      <c r="D32" s="12">
        <v>348</v>
      </c>
      <c r="E32" s="10" t="str">
        <f>A32&amp;"/"&amp;B32</f>
        <v>1203844-0/A24LM0358513</v>
      </c>
      <c r="F32" s="23">
        <v>99.978908000000004</v>
      </c>
    </row>
    <row r="33" spans="1:6" x14ac:dyDescent="0.3">
      <c r="A33" s="12" t="s">
        <v>42</v>
      </c>
      <c r="B33" s="12" t="s">
        <v>43</v>
      </c>
      <c r="C33" s="13">
        <v>45639</v>
      </c>
      <c r="D33" s="12">
        <v>328</v>
      </c>
      <c r="E33" s="10" t="str">
        <f>A33&amp;"/"&amp;B33</f>
        <v>1203761-3/A24AA0114393</v>
      </c>
      <c r="F33" s="23">
        <v>100.044488</v>
      </c>
    </row>
    <row r="34" spans="1:6" x14ac:dyDescent="0.3">
      <c r="A34" s="12" t="s">
        <v>54</v>
      </c>
      <c r="B34" s="12" t="s">
        <v>55</v>
      </c>
      <c r="C34" s="13">
        <v>44499</v>
      </c>
      <c r="D34" s="12">
        <v>307</v>
      </c>
      <c r="E34" s="10" t="str">
        <f>A34&amp;"/"&amp;B34</f>
        <v>1203843-1/A21L127616</v>
      </c>
      <c r="F34" s="23">
        <v>100.113347</v>
      </c>
    </row>
    <row r="35" spans="1:6" x14ac:dyDescent="0.3">
      <c r="A35" s="12" t="s">
        <v>62</v>
      </c>
      <c r="B35" s="12" t="s">
        <v>63</v>
      </c>
      <c r="C35" s="13">
        <v>45043</v>
      </c>
      <c r="D35" s="12">
        <v>274</v>
      </c>
      <c r="E35" s="10" t="str">
        <f>A35&amp;"/"&amp;B35</f>
        <v>1203848-2/A22L987575</v>
      </c>
      <c r="F35" s="23">
        <v>100.221554</v>
      </c>
    </row>
    <row r="36" spans="1:6" x14ac:dyDescent="0.3">
      <c r="A36" s="12" t="s">
        <v>98</v>
      </c>
      <c r="B36" s="12" t="s">
        <v>99</v>
      </c>
      <c r="C36" s="13">
        <v>45579</v>
      </c>
      <c r="D36" s="12">
        <v>267</v>
      </c>
      <c r="E36" s="10" t="str">
        <f>A36&amp;"/"&amp;B36</f>
        <v>1203969-1/A24LM0360754</v>
      </c>
      <c r="F36" s="23">
        <v>100.244507</v>
      </c>
    </row>
    <row r="37" spans="1:6" x14ac:dyDescent="0.3">
      <c r="A37" s="12" t="s">
        <v>80</v>
      </c>
      <c r="B37" s="12" t="s">
        <v>81</v>
      </c>
      <c r="C37" s="13">
        <v>45759</v>
      </c>
      <c r="D37" s="12">
        <v>257</v>
      </c>
      <c r="E37" s="10" t="str">
        <f>A37&amp;"/"&amp;B37</f>
        <v>1203958-6/A24AA0112747</v>
      </c>
      <c r="F37" s="23">
        <v>100.277297</v>
      </c>
    </row>
    <row r="38" spans="1:6" x14ac:dyDescent="0.3">
      <c r="A38" s="12" t="s">
        <v>14</v>
      </c>
      <c r="B38" s="12" t="s">
        <v>15</v>
      </c>
      <c r="C38" s="13">
        <v>45674</v>
      </c>
      <c r="D38" s="12">
        <v>229</v>
      </c>
      <c r="E38" s="10" t="str">
        <f>A38&amp;"/"&amp;B38</f>
        <v>1203660-9/A24AA0122080</v>
      </c>
      <c r="F38" s="23">
        <v>100.36910899999999</v>
      </c>
    </row>
    <row r="39" spans="1:6" x14ac:dyDescent="0.3">
      <c r="A39" s="12" t="s">
        <v>52</v>
      </c>
      <c r="B39" s="12" t="s">
        <v>53</v>
      </c>
      <c r="C39" s="13">
        <v>45860</v>
      </c>
      <c r="D39" s="12">
        <v>208</v>
      </c>
      <c r="E39" s="10" t="str">
        <f>A39&amp;"/"&amp;B39</f>
        <v>1203842-3/A24AA0122437</v>
      </c>
      <c r="F39" s="23">
        <v>100.437968</v>
      </c>
    </row>
    <row r="40" spans="1:6" x14ac:dyDescent="0.3">
      <c r="A40" s="12" t="s">
        <v>102</v>
      </c>
      <c r="B40" s="12" t="s">
        <v>103</v>
      </c>
      <c r="C40" s="13">
        <v>45853</v>
      </c>
      <c r="D40" s="12">
        <v>165</v>
      </c>
      <c r="E40" s="10" t="str">
        <f>A40&amp;"/"&amp;B40</f>
        <v>1203972-1/A22L484462</v>
      </c>
      <c r="F40" s="23">
        <v>100.578965</v>
      </c>
    </row>
    <row r="41" spans="1:6" x14ac:dyDescent="0.3">
      <c r="A41" s="12" t="s">
        <v>68</v>
      </c>
      <c r="B41" s="12" t="s">
        <v>69</v>
      </c>
      <c r="C41" s="13">
        <v>45124</v>
      </c>
      <c r="D41" s="12">
        <v>160</v>
      </c>
      <c r="E41" s="10" t="str">
        <f>A41&amp;"/"&amp;B41</f>
        <v>1203853-9/A22L984943</v>
      </c>
      <c r="F41" s="23">
        <v>100.59536</v>
      </c>
    </row>
    <row r="42" spans="1:6" x14ac:dyDescent="0.3">
      <c r="A42" s="12" t="s">
        <v>76</v>
      </c>
      <c r="B42" s="12" t="s">
        <v>77</v>
      </c>
      <c r="C42" s="13">
        <v>45786</v>
      </c>
      <c r="D42" s="12">
        <v>142</v>
      </c>
      <c r="E42" s="10" t="str">
        <f>A42&amp;"/"&amp;B42</f>
        <v>1203860-1/A22L975782</v>
      </c>
      <c r="F42" s="23">
        <v>100.654382</v>
      </c>
    </row>
    <row r="43" spans="1:6" x14ac:dyDescent="0.3">
      <c r="A43" s="12" t="s">
        <v>44</v>
      </c>
      <c r="B43" s="12" t="s">
        <v>45</v>
      </c>
      <c r="C43" s="13">
        <v>45943</v>
      </c>
      <c r="D43" s="12">
        <v>93</v>
      </c>
      <c r="E43" s="10" t="str">
        <f>A43&amp;"/"&amp;B43</f>
        <v>1203765-6/A24AA0196717</v>
      </c>
      <c r="F43" s="23">
        <v>100.81505300000001</v>
      </c>
    </row>
    <row r="44" spans="1:6" x14ac:dyDescent="0.3">
      <c r="A44" s="12" t="s">
        <v>88</v>
      </c>
      <c r="B44" s="12" t="s">
        <v>89</v>
      </c>
      <c r="C44" s="13">
        <v>45897</v>
      </c>
      <c r="D44" s="12">
        <v>90</v>
      </c>
      <c r="E44" s="10" t="str">
        <f>A44&amp;"/"&amp;B44</f>
        <v>1203964-0/A24AA0124655</v>
      </c>
      <c r="F44" s="23">
        <v>100.82489</v>
      </c>
    </row>
    <row r="45" spans="1:6" x14ac:dyDescent="0.3">
      <c r="A45" s="12" t="s">
        <v>10</v>
      </c>
      <c r="B45" s="12" t="s">
        <v>11</v>
      </c>
      <c r="C45" s="13">
        <v>45849</v>
      </c>
      <c r="D45" s="12">
        <v>87</v>
      </c>
      <c r="E45" s="10" t="str">
        <f>A45&amp;"/"&amp;B45</f>
        <v>1203655-2/A24AA0196922</v>
      </c>
      <c r="F45" s="23">
        <v>100.834727</v>
      </c>
    </row>
    <row r="46" spans="1:6" x14ac:dyDescent="0.3">
      <c r="A46" s="12" t="s">
        <v>28</v>
      </c>
      <c r="B46" s="12" t="s">
        <v>29</v>
      </c>
      <c r="C46" s="13">
        <v>45727</v>
      </c>
      <c r="D46" s="12">
        <v>40</v>
      </c>
      <c r="E46" s="10" t="str">
        <f>A46&amp;"/"&amp;B46</f>
        <v>1203749-4/A24AA0111484</v>
      </c>
      <c r="F46" s="23">
        <v>100.98884</v>
      </c>
    </row>
    <row r="47" spans="1:6" x14ac:dyDescent="0.3">
      <c r="A47" s="12" t="s">
        <v>12</v>
      </c>
      <c r="B47" s="12" t="s">
        <v>13</v>
      </c>
      <c r="C47" s="13">
        <v>46013</v>
      </c>
      <c r="D47" s="12">
        <v>27</v>
      </c>
      <c r="E47" s="10" t="str">
        <f>A47&amp;"/"&amp;B47</f>
        <v>1203656-0/A25SG1032648</v>
      </c>
      <c r="F47" s="23">
        <v>101.03146700000001</v>
      </c>
    </row>
    <row r="48" spans="1:6" x14ac:dyDescent="0.3">
      <c r="A48" s="12" t="s">
        <v>50</v>
      </c>
      <c r="B48" s="12" t="s">
        <v>51</v>
      </c>
      <c r="C48" s="13">
        <v>46094</v>
      </c>
      <c r="D48" s="12">
        <v>27</v>
      </c>
      <c r="E48" s="10" t="str">
        <f>A48&amp;"/"&amp;B48</f>
        <v>1203825-3/A25SG1030075</v>
      </c>
      <c r="F48" s="23">
        <v>101.03146700000001</v>
      </c>
    </row>
    <row r="49" spans="1:6" x14ac:dyDescent="0.3">
      <c r="A49" s="12" t="s">
        <v>18</v>
      </c>
      <c r="B49" s="12" t="s">
        <v>19</v>
      </c>
      <c r="C49" s="13">
        <v>46097</v>
      </c>
      <c r="D49" s="12">
        <v>14</v>
      </c>
      <c r="E49" s="10" t="str">
        <f>A49&amp;"/"&amp;B49</f>
        <v>1203666-8/A25SG1040406</v>
      </c>
      <c r="F49" s="23">
        <v>101.074094</v>
      </c>
    </row>
    <row r="50" spans="1:6" x14ac:dyDescent="0.3">
      <c r="A50" s="12" t="s">
        <v>26</v>
      </c>
      <c r="B50" s="12" t="s">
        <v>27</v>
      </c>
      <c r="C50" s="13">
        <v>45952</v>
      </c>
      <c r="D50" s="12">
        <v>9</v>
      </c>
      <c r="E50" s="10" t="str">
        <f>A50&amp;"/"&amp;B50</f>
        <v>1203703-6/A22L885360</v>
      </c>
      <c r="F50" s="23">
        <v>101.09048900000001</v>
      </c>
    </row>
    <row r="51" spans="1:6" x14ac:dyDescent="0.3">
      <c r="A51" s="12" t="s">
        <v>74</v>
      </c>
      <c r="B51" s="12" t="s">
        <v>75</v>
      </c>
      <c r="C51" s="13">
        <v>45841</v>
      </c>
      <c r="D51" s="12">
        <v>5</v>
      </c>
      <c r="E51" s="10" t="str">
        <f>A51&amp;"/"&amp;B51</f>
        <v>1203859-8/A24AA0199148</v>
      </c>
      <c r="F51" s="23">
        <v>101.103605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F493-BE0C-4423-A14F-8515ABC80C13}">
  <dimension ref="A1:D51"/>
  <sheetViews>
    <sheetView workbookViewId="0">
      <selection activeCell="B24" sqref="B24"/>
    </sheetView>
  </sheetViews>
  <sheetFormatPr defaultRowHeight="14.4" x14ac:dyDescent="0.3"/>
  <cols>
    <col min="1" max="1" width="10.77734375" customWidth="1"/>
    <col min="2" max="2" width="13.77734375" customWidth="1"/>
    <col min="3" max="3" width="23.109375" style="4" bestFit="1" customWidth="1"/>
    <col min="4" max="4" width="11" bestFit="1" customWidth="1"/>
  </cols>
  <sheetData>
    <row r="1" spans="1:4" x14ac:dyDescent="0.3">
      <c r="A1" s="2" t="s">
        <v>0</v>
      </c>
      <c r="B1" s="2" t="s">
        <v>1</v>
      </c>
      <c r="C1" s="3" t="s">
        <v>105</v>
      </c>
      <c r="D1" s="2" t="s">
        <v>104</v>
      </c>
    </row>
    <row r="2" spans="1:4" x14ac:dyDescent="0.3">
      <c r="A2" s="1" t="s">
        <v>4</v>
      </c>
      <c r="B2" s="1" t="s">
        <v>5</v>
      </c>
      <c r="C2" s="4" t="str">
        <f>A2&amp;"/"&amp;B2</f>
        <v>1203647-1/A25AA0025268</v>
      </c>
      <c r="D2" s="1">
        <v>99.434594000000004</v>
      </c>
    </row>
    <row r="3" spans="1:4" x14ac:dyDescent="0.3">
      <c r="A3" s="1" t="s">
        <v>6</v>
      </c>
      <c r="B3" s="1" t="s">
        <v>7</v>
      </c>
      <c r="C3" s="4" t="str">
        <f>A3&amp;"/"&amp;B3</f>
        <v>1203649-8/A20L595032</v>
      </c>
      <c r="D3" s="1">
        <v>99.860864000000007</v>
      </c>
    </row>
    <row r="4" spans="1:4" x14ac:dyDescent="0.3">
      <c r="A4" s="1" t="s">
        <v>8</v>
      </c>
      <c r="B4" s="1" t="s">
        <v>9</v>
      </c>
      <c r="C4" s="4" t="str">
        <f>A4&amp;"/"&amp;B4</f>
        <v>1203652-8/A18L730439</v>
      </c>
      <c r="D4" s="1">
        <v>97.34259200000001</v>
      </c>
    </row>
    <row r="5" spans="1:4" x14ac:dyDescent="0.3">
      <c r="A5" s="1" t="s">
        <v>10</v>
      </c>
      <c r="B5" s="1" t="s">
        <v>11</v>
      </c>
      <c r="C5" s="4" t="str">
        <f>A5&amp;"/"&amp;B5</f>
        <v>1203655-2/A24AA0196922</v>
      </c>
      <c r="D5" s="1">
        <v>100.834727</v>
      </c>
    </row>
    <row r="6" spans="1:4" x14ac:dyDescent="0.3">
      <c r="A6" s="1" t="s">
        <v>12</v>
      </c>
      <c r="B6" s="1" t="s">
        <v>13</v>
      </c>
      <c r="C6" s="4" t="str">
        <f>A6&amp;"/"&amp;B6</f>
        <v>1203656-0/A25SG1032648</v>
      </c>
      <c r="D6" s="1">
        <v>101.03146700000001</v>
      </c>
    </row>
    <row r="7" spans="1:4" x14ac:dyDescent="0.3">
      <c r="A7" s="1" t="s">
        <v>14</v>
      </c>
      <c r="B7" s="1" t="s">
        <v>15</v>
      </c>
      <c r="C7" s="4" t="str">
        <f>A7&amp;"/"&amp;B7</f>
        <v>1203660-9/A24AA0122080</v>
      </c>
      <c r="D7" s="1">
        <v>100.36910899999999</v>
      </c>
    </row>
    <row r="8" spans="1:4" x14ac:dyDescent="0.3">
      <c r="A8" s="1" t="s">
        <v>16</v>
      </c>
      <c r="B8" s="1" t="s">
        <v>17</v>
      </c>
      <c r="C8" s="4" t="str">
        <f>A8&amp;"/"&amp;B8</f>
        <v>1203665-0/A22L277086</v>
      </c>
      <c r="D8" s="1">
        <v>99.162437000000011</v>
      </c>
    </row>
    <row r="9" spans="1:4" x14ac:dyDescent="0.3">
      <c r="A9" s="1" t="s">
        <v>18</v>
      </c>
      <c r="B9" s="1" t="s">
        <v>19</v>
      </c>
      <c r="C9" s="4" t="str">
        <f>A9&amp;"/"&amp;B9</f>
        <v>1203666-8/A25SG1040406</v>
      </c>
      <c r="D9" s="1">
        <v>101.074094</v>
      </c>
    </row>
    <row r="10" spans="1:4" x14ac:dyDescent="0.3">
      <c r="A10" s="1" t="s">
        <v>20</v>
      </c>
      <c r="B10" s="1" t="s">
        <v>21</v>
      </c>
      <c r="C10" s="4" t="str">
        <f>A10&amp;"/"&amp;B10</f>
        <v>1203667-6/A24L074461</v>
      </c>
      <c r="D10" s="1">
        <v>99.880538000000001</v>
      </c>
    </row>
    <row r="11" spans="1:4" x14ac:dyDescent="0.3">
      <c r="A11" s="1" t="s">
        <v>22</v>
      </c>
      <c r="B11" s="1" t="s">
        <v>23</v>
      </c>
      <c r="C11" s="4" t="str">
        <f>A11&amp;"/"&amp;B11</f>
        <v>1203671-4/A21L120897</v>
      </c>
      <c r="D11" s="1">
        <v>96.309707000000003</v>
      </c>
    </row>
    <row r="12" spans="1:4" x14ac:dyDescent="0.3">
      <c r="A12" s="1" t="s">
        <v>24</v>
      </c>
      <c r="B12" s="1" t="s">
        <v>25</v>
      </c>
      <c r="C12" s="4" t="str">
        <f>A12&amp;"/"&amp;B12</f>
        <v>1203702-8/A20L169855</v>
      </c>
      <c r="D12" s="1">
        <v>96.755651</v>
      </c>
    </row>
    <row r="13" spans="1:4" x14ac:dyDescent="0.3">
      <c r="A13" s="1" t="s">
        <v>26</v>
      </c>
      <c r="B13" s="1" t="s">
        <v>27</v>
      </c>
      <c r="C13" s="4" t="str">
        <f>A13&amp;"/"&amp;B13</f>
        <v>1203703-6/A22L885360</v>
      </c>
      <c r="D13" s="1">
        <v>101.09048900000001</v>
      </c>
    </row>
    <row r="14" spans="1:4" x14ac:dyDescent="0.3">
      <c r="A14" s="1" t="s">
        <v>28</v>
      </c>
      <c r="B14" s="1" t="s">
        <v>29</v>
      </c>
      <c r="C14" s="4" t="str">
        <f>A14&amp;"/"&amp;B14</f>
        <v>1203749-4/A24AA0111484</v>
      </c>
      <c r="D14" s="1">
        <v>100.98884</v>
      </c>
    </row>
    <row r="15" spans="1:4" x14ac:dyDescent="0.3">
      <c r="A15" s="1" t="s">
        <v>30</v>
      </c>
      <c r="B15" s="1" t="s">
        <v>31</v>
      </c>
      <c r="C15" s="4" t="str">
        <f>A15&amp;"/"&amp;B15</f>
        <v>1203751-6/A17S231913</v>
      </c>
      <c r="D15" s="1">
        <v>98.536148000000011</v>
      </c>
    </row>
    <row r="16" spans="1:4" x14ac:dyDescent="0.3">
      <c r="A16" s="1" t="s">
        <v>32</v>
      </c>
      <c r="B16" s="1" t="s">
        <v>33</v>
      </c>
      <c r="C16" s="4" t="str">
        <f>A16&amp;"/"&amp;B16</f>
        <v>1203752-4/A24L078657</v>
      </c>
      <c r="D16" s="1">
        <v>98.457452000000004</v>
      </c>
    </row>
    <row r="17" spans="1:4" x14ac:dyDescent="0.3">
      <c r="A17" s="1" t="s">
        <v>34</v>
      </c>
      <c r="B17" s="1" t="s">
        <v>35</v>
      </c>
      <c r="C17" s="4" t="str">
        <f>A17&amp;"/"&amp;B17</f>
        <v>1203753-2/A21L266357</v>
      </c>
      <c r="D17" s="1">
        <v>95.293216999999999</v>
      </c>
    </row>
    <row r="18" spans="1:4" x14ac:dyDescent="0.3">
      <c r="A18" s="1" t="s">
        <v>36</v>
      </c>
      <c r="B18" s="1" t="s">
        <v>37</v>
      </c>
      <c r="C18" s="4" t="str">
        <f>A18&amp;"/"&amp;B18</f>
        <v>1203754-0/A17L342852</v>
      </c>
      <c r="D18" s="1">
        <v>97.552447999999998</v>
      </c>
    </row>
    <row r="19" spans="1:4" x14ac:dyDescent="0.3">
      <c r="A19" s="1" t="s">
        <v>38</v>
      </c>
      <c r="B19" s="1" t="s">
        <v>39</v>
      </c>
      <c r="C19" s="4" t="str">
        <f>A19&amp;"/"&amp;B19</f>
        <v>1203755-9/A22L874153</v>
      </c>
      <c r="D19" s="1">
        <v>98.880443</v>
      </c>
    </row>
    <row r="20" spans="1:4" x14ac:dyDescent="0.3">
      <c r="A20" s="1" t="s">
        <v>40</v>
      </c>
      <c r="B20" s="1" t="s">
        <v>41</v>
      </c>
      <c r="C20" s="4" t="str">
        <f>A20&amp;"/"&amp;B20</f>
        <v>1203756-7/A19L073882</v>
      </c>
      <c r="D20" s="1">
        <v>93.765203</v>
      </c>
    </row>
    <row r="21" spans="1:4" x14ac:dyDescent="0.3">
      <c r="A21" s="1" t="s">
        <v>42</v>
      </c>
      <c r="B21" s="1" t="s">
        <v>43</v>
      </c>
      <c r="C21" s="4" t="str">
        <f>A21&amp;"/"&amp;B21</f>
        <v>1203761-3/A24AA0114393</v>
      </c>
      <c r="D21" s="1">
        <v>100.044488</v>
      </c>
    </row>
    <row r="22" spans="1:4" x14ac:dyDescent="0.3">
      <c r="A22" s="1" t="s">
        <v>44</v>
      </c>
      <c r="B22" s="1" t="s">
        <v>45</v>
      </c>
      <c r="C22" s="4" t="str">
        <f>A22&amp;"/"&amp;B22</f>
        <v>1203765-6/A24AA0196717</v>
      </c>
      <c r="D22" s="1">
        <v>100.81505300000001</v>
      </c>
    </row>
    <row r="23" spans="1:4" x14ac:dyDescent="0.3">
      <c r="A23" s="1" t="s">
        <v>46</v>
      </c>
      <c r="B23" s="1" t="s">
        <v>47</v>
      </c>
      <c r="C23" s="4" t="str">
        <f>A23&amp;"/"&amp;B23</f>
        <v>1203771-0/A22L283085</v>
      </c>
      <c r="D23" s="1">
        <v>98.503358000000006</v>
      </c>
    </row>
    <row r="24" spans="1:4" x14ac:dyDescent="0.3">
      <c r="A24" s="1" t="s">
        <v>48</v>
      </c>
      <c r="B24" s="1" t="s">
        <v>49</v>
      </c>
      <c r="C24" s="4" t="str">
        <f>A24&amp;"/"&amp;B24</f>
        <v>1203773-7/A24L945087</v>
      </c>
      <c r="D24" s="1">
        <v>99.651008000000004</v>
      </c>
    </row>
    <row r="25" spans="1:4" x14ac:dyDescent="0.3">
      <c r="A25" s="1" t="s">
        <v>50</v>
      </c>
      <c r="B25" s="1" t="s">
        <v>51</v>
      </c>
      <c r="C25" s="4" t="str">
        <f>A25&amp;"/"&amp;B25</f>
        <v>1203825-3/A25SG1030075</v>
      </c>
      <c r="D25" s="1">
        <v>101.03146700000001</v>
      </c>
    </row>
    <row r="26" spans="1:4" x14ac:dyDescent="0.3">
      <c r="A26" s="1" t="s">
        <v>52</v>
      </c>
      <c r="B26" s="1" t="s">
        <v>53</v>
      </c>
      <c r="C26" s="4" t="str">
        <f>A26&amp;"/"&amp;B26</f>
        <v>1203842-3/A24AA0122437</v>
      </c>
      <c r="D26" s="1">
        <v>100.437968</v>
      </c>
    </row>
    <row r="27" spans="1:4" x14ac:dyDescent="0.3">
      <c r="A27" s="1" t="s">
        <v>54</v>
      </c>
      <c r="B27" s="1" t="s">
        <v>55</v>
      </c>
      <c r="C27" s="4" t="str">
        <f>A27&amp;"/"&amp;B27</f>
        <v>1203843-1/A21L127616</v>
      </c>
      <c r="D27" s="1">
        <v>100.113347</v>
      </c>
    </row>
    <row r="28" spans="1:4" x14ac:dyDescent="0.3">
      <c r="A28" s="1" t="s">
        <v>56</v>
      </c>
      <c r="B28" s="1" t="s">
        <v>57</v>
      </c>
      <c r="C28" s="4" t="str">
        <f>A28&amp;"/"&amp;B28</f>
        <v>1203844-0/A24LM0358513</v>
      </c>
      <c r="D28" s="1">
        <v>99.978908000000004</v>
      </c>
    </row>
    <row r="29" spans="1:4" x14ac:dyDescent="0.3">
      <c r="A29" s="1" t="s">
        <v>58</v>
      </c>
      <c r="B29" s="1" t="s">
        <v>59</v>
      </c>
      <c r="C29" s="4" t="str">
        <f>A29&amp;"/"&amp;B29</f>
        <v>1203845-8/A19L392887</v>
      </c>
      <c r="D29" s="1">
        <v>97.322918000000001</v>
      </c>
    </row>
    <row r="30" spans="1:4" x14ac:dyDescent="0.3">
      <c r="A30" s="1" t="s">
        <v>60</v>
      </c>
      <c r="B30" s="1" t="s">
        <v>61</v>
      </c>
      <c r="C30" s="4" t="str">
        <f>A30&amp;"/"&amp;B30</f>
        <v>1203847-4/A21L119628</v>
      </c>
      <c r="D30" s="1">
        <v>99.336224000000001</v>
      </c>
    </row>
    <row r="31" spans="1:4" x14ac:dyDescent="0.3">
      <c r="A31" s="1" t="s">
        <v>62</v>
      </c>
      <c r="B31" s="1" t="s">
        <v>63</v>
      </c>
      <c r="C31" s="4" t="str">
        <f>A31&amp;"/"&amp;B31</f>
        <v>1203848-2/A22L987575</v>
      </c>
      <c r="D31" s="1">
        <v>100.221554</v>
      </c>
    </row>
    <row r="32" spans="1:4" x14ac:dyDescent="0.3">
      <c r="A32" s="1" t="s">
        <v>64</v>
      </c>
      <c r="B32" s="1" t="s">
        <v>65</v>
      </c>
      <c r="C32" s="4" t="str">
        <f>A32&amp;"/"&amp;B32</f>
        <v>1203849-0/A21L126958</v>
      </c>
      <c r="D32" s="1">
        <v>98.909953999999999</v>
      </c>
    </row>
    <row r="33" spans="1:4" x14ac:dyDescent="0.3">
      <c r="A33" s="1" t="s">
        <v>66</v>
      </c>
      <c r="B33" s="1" t="s">
        <v>67</v>
      </c>
      <c r="C33" s="4" t="str">
        <f>A33&amp;"/"&amp;B33</f>
        <v>1203851-2/A21L264269</v>
      </c>
      <c r="D33" s="1">
        <v>95.958854000000002</v>
      </c>
    </row>
    <row r="34" spans="1:4" x14ac:dyDescent="0.3">
      <c r="A34" s="1" t="s">
        <v>68</v>
      </c>
      <c r="B34" s="1" t="s">
        <v>69</v>
      </c>
      <c r="C34" s="4" t="str">
        <f>A34&amp;"/"&amp;B34</f>
        <v>1203853-9/A22L984943</v>
      </c>
      <c r="D34" s="1">
        <v>100.59536</v>
      </c>
    </row>
    <row r="35" spans="1:4" x14ac:dyDescent="0.3">
      <c r="A35" s="1" t="s">
        <v>70</v>
      </c>
      <c r="B35" s="1" t="s">
        <v>71</v>
      </c>
      <c r="C35" s="4" t="str">
        <f>A35&amp;"/"&amp;B35</f>
        <v>1203854-7/A20L273289</v>
      </c>
      <c r="D35" s="1">
        <v>98.490242000000009</v>
      </c>
    </row>
    <row r="36" spans="1:4" x14ac:dyDescent="0.3">
      <c r="A36" s="1" t="s">
        <v>72</v>
      </c>
      <c r="B36" s="1" t="s">
        <v>73</v>
      </c>
      <c r="C36" s="4" t="str">
        <f>A36&amp;"/"&amp;B36</f>
        <v>1203855-5/A24LM0361907</v>
      </c>
      <c r="D36" s="1">
        <v>99.503453000000007</v>
      </c>
    </row>
    <row r="37" spans="1:4" x14ac:dyDescent="0.3">
      <c r="A37" s="1" t="s">
        <v>74</v>
      </c>
      <c r="B37" s="1" t="s">
        <v>75</v>
      </c>
      <c r="C37" s="4" t="str">
        <f>A37&amp;"/"&amp;B37</f>
        <v>1203859-8/A24AA0199148</v>
      </c>
      <c r="D37" s="1">
        <v>101.103605</v>
      </c>
    </row>
    <row r="38" spans="1:4" x14ac:dyDescent="0.3">
      <c r="A38" s="1" t="s">
        <v>76</v>
      </c>
      <c r="B38" s="1" t="s">
        <v>77</v>
      </c>
      <c r="C38" s="4" t="str">
        <f>A38&amp;"/"&amp;B38</f>
        <v>1203860-1/A22L975782</v>
      </c>
      <c r="D38" s="1">
        <v>100.654382</v>
      </c>
    </row>
    <row r="39" spans="1:4" x14ac:dyDescent="0.3">
      <c r="A39" s="1" t="s">
        <v>78</v>
      </c>
      <c r="B39" s="1" t="s">
        <v>79</v>
      </c>
      <c r="C39" s="4" t="str">
        <f>A39&amp;"/"&amp;B39</f>
        <v>1203957-8/A22L983837</v>
      </c>
      <c r="D39" s="1">
        <v>97.726235000000003</v>
      </c>
    </row>
    <row r="40" spans="1:4" x14ac:dyDescent="0.3">
      <c r="A40" s="1" t="s">
        <v>80</v>
      </c>
      <c r="B40" s="1" t="s">
        <v>81</v>
      </c>
      <c r="C40" s="4" t="str">
        <f>A40&amp;"/"&amp;B40</f>
        <v>1203958-6/A24AA0112747</v>
      </c>
      <c r="D40" s="1">
        <v>100.277297</v>
      </c>
    </row>
    <row r="41" spans="1:4" x14ac:dyDescent="0.3">
      <c r="A41" s="1" t="s">
        <v>82</v>
      </c>
      <c r="B41" s="1" t="s">
        <v>83</v>
      </c>
      <c r="C41" s="4" t="str">
        <f>A41&amp;"/"&amp;B41</f>
        <v>1203960-8/A24LM0365483</v>
      </c>
      <c r="D41" s="1">
        <v>98.775514999999999</v>
      </c>
    </row>
    <row r="42" spans="1:4" x14ac:dyDescent="0.3">
      <c r="A42" s="1" t="s">
        <v>84</v>
      </c>
      <c r="B42" s="1" t="s">
        <v>85</v>
      </c>
      <c r="C42" s="4" t="str">
        <f>A42&amp;"/"&amp;B42</f>
        <v>1203961-6/A19L466767</v>
      </c>
      <c r="D42" s="1">
        <v>97.818047000000007</v>
      </c>
    </row>
    <row r="43" spans="1:4" x14ac:dyDescent="0.3">
      <c r="A43" s="1" t="s">
        <v>86</v>
      </c>
      <c r="B43" s="1" t="s">
        <v>87</v>
      </c>
      <c r="C43" s="4" t="str">
        <f>A43&amp;"/"&amp;B43</f>
        <v>1203963-2/A20L272219</v>
      </c>
      <c r="D43" s="1">
        <v>99.546080000000003</v>
      </c>
    </row>
    <row r="44" spans="1:4" x14ac:dyDescent="0.3">
      <c r="A44" s="1" t="s">
        <v>88</v>
      </c>
      <c r="B44" s="1" t="s">
        <v>89</v>
      </c>
      <c r="C44" s="4" t="str">
        <f>A44&amp;"/"&amp;B44</f>
        <v>1203964-0/A24AA0124655</v>
      </c>
      <c r="D44" s="1">
        <v>100.82489</v>
      </c>
    </row>
    <row r="45" spans="1:4" x14ac:dyDescent="0.3">
      <c r="A45" s="1" t="s">
        <v>90</v>
      </c>
      <c r="B45" s="1" t="s">
        <v>91</v>
      </c>
      <c r="C45" s="4" t="str">
        <f>A45&amp;"/"&amp;B45</f>
        <v>1203965-9/A21L060275</v>
      </c>
      <c r="D45" s="1">
        <v>97.011413000000005</v>
      </c>
    </row>
    <row r="46" spans="1:4" x14ac:dyDescent="0.3">
      <c r="A46" s="1" t="s">
        <v>92</v>
      </c>
      <c r="B46" s="1" t="s">
        <v>93</v>
      </c>
      <c r="C46" s="4" t="str">
        <f>A46&amp;"/"&amp;B46</f>
        <v>1203966-7/A21L266313</v>
      </c>
      <c r="D46" s="1">
        <v>97.496705000000006</v>
      </c>
    </row>
    <row r="47" spans="1:4" x14ac:dyDescent="0.3">
      <c r="A47" s="1" t="s">
        <v>94</v>
      </c>
      <c r="B47" s="1" t="s">
        <v>95</v>
      </c>
      <c r="C47" s="4" t="str">
        <f>A47&amp;"/"&amp;B47</f>
        <v>1203967-5/A24L942994</v>
      </c>
      <c r="D47" s="1">
        <v>99.949397000000005</v>
      </c>
    </row>
    <row r="48" spans="1:4" x14ac:dyDescent="0.3">
      <c r="A48" s="1" t="s">
        <v>96</v>
      </c>
      <c r="B48" s="1" t="s">
        <v>97</v>
      </c>
      <c r="C48" s="4" t="str">
        <f>A48&amp;"/"&amp;B48</f>
        <v>1203968-3/A18L731516</v>
      </c>
      <c r="D48" s="1">
        <v>94.063592</v>
      </c>
    </row>
    <row r="49" spans="1:4" x14ac:dyDescent="0.3">
      <c r="A49" s="1" t="s">
        <v>98</v>
      </c>
      <c r="B49" s="1" t="s">
        <v>99</v>
      </c>
      <c r="C49" s="4" t="str">
        <f>A49&amp;"/"&amp;B49</f>
        <v>1203969-1/A24LM0360754</v>
      </c>
      <c r="D49" s="1">
        <v>100.244507</v>
      </c>
    </row>
    <row r="50" spans="1:4" x14ac:dyDescent="0.3">
      <c r="A50" s="1" t="s">
        <v>100</v>
      </c>
      <c r="B50" s="1" t="s">
        <v>101</v>
      </c>
      <c r="C50" s="4" t="str">
        <f>A50&amp;"/"&amp;B50</f>
        <v>1203971-3/A21L060170</v>
      </c>
      <c r="D50" s="1">
        <v>88.702427</v>
      </c>
    </row>
    <row r="51" spans="1:4" x14ac:dyDescent="0.3">
      <c r="A51" s="1" t="s">
        <v>102</v>
      </c>
      <c r="B51" s="1" t="s">
        <v>103</v>
      </c>
      <c r="C51" s="4" t="str">
        <f>A51&amp;"/"&amp;B51</f>
        <v>1203972-1/A22L484462</v>
      </c>
      <c r="D51" s="1">
        <v>100.578965</v>
      </c>
    </row>
  </sheetData>
  <conditionalFormatting sqref="C1:C1048576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Arquivo1</vt:lpstr>
      <vt:lpstr>Arquivo2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MARIELE VIEIRA DA SILVA</dc:creator>
  <cp:lastModifiedBy>MARIELE VIEIRA DA SILVA</cp:lastModifiedBy>
  <dcterms:created xsi:type="dcterms:W3CDTF">2026-04-11T12:20:28Z</dcterms:created>
  <dcterms:modified xsi:type="dcterms:W3CDTF">2026-04-11T14:17:13Z</dcterms:modified>
</cp:coreProperties>
</file>